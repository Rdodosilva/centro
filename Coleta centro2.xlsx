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dlfloripa-my.sharepoint.com/personal/zeladoria_cdlflorianopolis_org_br/Documents/Documentos/Rodrigo/Centro 2.0/"/>
    </mc:Choice>
  </mc:AlternateContent>
  <xr:revisionPtr revIDLastSave="14" documentId="13_ncr:1_{21D1E679-0D75-430E-8FEF-33BD698C0AD4}" xr6:coauthVersionLast="47" xr6:coauthVersionMax="47" xr10:uidLastSave="{8E8A923E-0262-4FA6-B45F-F5B3046BCA73}"/>
  <bookViews>
    <workbookView xWindow="-17670" yWindow="1485" windowWidth="15300" windowHeight="7785" activeTab="1" xr2:uid="{BC1067C3-107E-4691-8585-F610FEB5DCFB}"/>
  </bookViews>
  <sheets>
    <sheet name="2025" sheetId="1" r:id="rId1"/>
    <sheet name="2026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3" i="1"/>
  <c r="D4" i="1"/>
  <c r="D5" i="1"/>
  <c r="D6" i="1"/>
  <c r="D2" i="1"/>
  <c r="D7" i="1"/>
  <c r="D8" i="1"/>
  <c r="D9" i="1"/>
  <c r="D10" i="1"/>
  <c r="D11" i="1"/>
  <c r="D12" i="1"/>
  <c r="D13" i="1"/>
  <c r="D14" i="1" l="1"/>
</calcChain>
</file>

<file path=xl/sharedStrings.xml><?xml version="1.0" encoding="utf-8"?>
<sst xmlns="http://schemas.openxmlformats.org/spreadsheetml/2006/main" count="34" uniqueCount="17">
  <si>
    <t xml:space="preserve">Mês 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</si>
  <si>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</si>
  <si>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</si>
  <si>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</si>
  <si>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</si>
  <si>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</si>
  <si>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</si>
  <si>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</si>
  <si>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</si>
  <si>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</si>
  <si>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</si>
  <si>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</si>
  <si>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</si>
  <si>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Coleta AM</t>
  </si>
  <si>
    <t>Coleta PM</t>
  </si>
  <si>
    <t>Total</t>
  </si>
  <si>
    <t>Total de Sacos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</si>
</sst>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3"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7255AB"/>
      <color rgb="FFFE860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4D4A625-1E5B-42B6-B132-EABE10FD59D1}" name="Tabela2" displayName="Tabela2" ref="A1:D14" totalsRowShown="0" headerRowDxfId="2">
  <autoFilter ref="A1:D14" xr:uid="{74D4A625-1E5B-42B6-B132-EABE10FD59D1}">
    <filterColumn colId="0" hiddenButton="1"/>
    <filterColumn colId="1" hiddenButton="1"/>
    <filterColumn colId="2" hiddenButton="1"/>
    <filterColumn colId="3" hiddenButton="1"/>
  </autoFilter>
  <tableColumns count="4">
    <tableColumn id="1" xr3:uid="{F076829E-E676-4F20-A714-8925BEFBBC55}" name="Mês "/>
    <tableColumn id="2" xr3:uid="{6A46BB1A-B112-42A5-9D2C-67E20331BE43}" name="Coleta AM"/>
    <tableColumn id="3" xr3:uid="{D8BE94A2-7A7D-41A0-AA64-6D3B51BC51D7}" name="Coleta PM"/>
    <tableColumn id="4" xr3:uid="{43FE5E8E-A49A-43C2-9F7A-7F1AC67FDE92}" name="Total de Saco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08DD2E8-7472-4FA8-B4C8-EA998D042E4B}" name="Tabela24" displayName="Tabela24" ref="A1:D14" totalsRowShown="0" headerRowDxfId="1">
  <autoFilter ref="A1:D14" xr:uid="{708DD2E8-7472-4FA8-B4C8-EA998D042E4B}"/>
  <tableColumns count="4">
    <tableColumn id="1" xr3:uid="{12A1E0A7-125C-4BB0-BD46-D8F0432476D2}" name="Mês "/>
    <tableColumn id="2" xr3:uid="{CD7265F8-3A48-41D4-A9C4-03905F5C9CFB}" name="Coleta AM"/>
    <tableColumn id="3" xr3:uid="{56367671-92BE-4CCD-AF71-7237F15C245C}" name="Coleta PM"/>
    <tableColumn id="4" xr3:uid="{55CB6D1E-D517-433D-9A2E-74142DDB9780}" name="Total de Sacos" dataDxfId="0">
      <calculatedColumnFormula>SUM(Tabela24[[#This Row],[Coleta AM]:[Coleta PM]])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1CCD5-189D-4012-A61F-3DD8F942C59F}">
  <dimension ref="A1:G14"/>
  <sheetViews>
    <sheetView showGridLines="0" workbookViewId="0">
      <selection activeCell="I14" sqref="I14"/>
    </sheetView>
  </sheetViews>
  <sheetFormatPr defaultRowHeight="15" x14ac:dyDescent="0.25"/>
  <cols>
    <col min="2" max="2" width="18.7109375" customWidth="1"/>
    <col min="3" max="3" width="24.5703125" customWidth="1"/>
    <col min="4" max="4" width="26.5703125" customWidth="1"/>
    <col min="5" max="7" width="9.140625" hidden="1" customWidth="1"/>
  </cols>
  <sheetData>
    <row r="1" spans="1:4" x14ac:dyDescent="0.25">
      <c r="A1" s="2" t="s">
        <v>0</v>
      </c>
      <c r="B1" s="1" t="s">
        <v>13</v>
      </c>
      <c r="C1" s="1" t="s">
        <v>14</v>
      </c>
      <c r="D1" s="3" t="s">
        <v>16</v>
      </c>
    </row>
    <row r="2" spans="1:4" x14ac:dyDescent="0.25">
      <c r="A2" t="s">
        <v>1</v>
      </c>
      <c r="B2">
        <v>295</v>
      </c>
      <c r="C2">
        <v>760</v>
      </c>
      <c r="D2">
        <f xml:space="preserve"> B2+C2</f>
        <v>1055</v>
      </c>
    </row>
    <row r="3" spans="1:4" x14ac:dyDescent="0.25">
      <c r="A3" t="s">
        <v>2</v>
      </c>
      <c r="B3">
        <v>1021</v>
      </c>
      <c r="C3">
        <v>1636</v>
      </c>
      <c r="D3">
        <f t="shared" ref="D3:D6" si="0" xml:space="preserve"> B3+C3</f>
        <v>2657</v>
      </c>
    </row>
    <row r="4" spans="1:4" x14ac:dyDescent="0.25">
      <c r="A4" t="s">
        <v>3</v>
      </c>
      <c r="B4">
        <v>408</v>
      </c>
      <c r="C4">
        <v>793</v>
      </c>
      <c r="D4">
        <f t="shared" si="0"/>
        <v>1201</v>
      </c>
    </row>
    <row r="5" spans="1:4" x14ac:dyDescent="0.25">
      <c r="A5" t="s">
        <v>4</v>
      </c>
      <c r="B5">
        <v>1192</v>
      </c>
      <c r="C5">
        <v>1606</v>
      </c>
      <c r="D5">
        <f t="shared" si="0"/>
        <v>2798</v>
      </c>
    </row>
    <row r="6" spans="1:4" x14ac:dyDescent="0.25">
      <c r="A6" t="s">
        <v>5</v>
      </c>
      <c r="B6">
        <v>1045</v>
      </c>
      <c r="C6">
        <v>1461</v>
      </c>
      <c r="D6">
        <f t="shared" si="0"/>
        <v>2506</v>
      </c>
    </row>
    <row r="7" spans="1:4" x14ac:dyDescent="0.25">
      <c r="A7" t="s">
        <v>6</v>
      </c>
      <c r="B7">
        <v>1267</v>
      </c>
      <c r="C7">
        <v>3802</v>
      </c>
      <c r="D7">
        <f t="shared" ref="D7:D13" si="1">SUM(B7:C7)</f>
        <v>5069</v>
      </c>
    </row>
    <row r="8" spans="1:4" x14ac:dyDescent="0.25">
      <c r="A8" t="s">
        <v>7</v>
      </c>
      <c r="B8">
        <v>817</v>
      </c>
      <c r="C8">
        <v>4232</v>
      </c>
      <c r="D8">
        <f t="shared" si="1"/>
        <v>5049</v>
      </c>
    </row>
    <row r="9" spans="1:4" x14ac:dyDescent="0.25">
      <c r="A9" t="s">
        <v>8</v>
      </c>
      <c r="B9">
        <v>1699</v>
      </c>
      <c r="C9">
        <v>3741</v>
      </c>
      <c r="D9">
        <f t="shared" si="1"/>
        <v>5440</v>
      </c>
    </row>
    <row r="10" spans="1:4" x14ac:dyDescent="0.25">
      <c r="A10" t="s">
        <v>9</v>
      </c>
      <c r="B10">
        <v>1471</v>
      </c>
      <c r="C10">
        <v>3887</v>
      </c>
      <c r="D10">
        <f t="shared" si="1"/>
        <v>5358</v>
      </c>
    </row>
    <row r="11" spans="1:4" x14ac:dyDescent="0.25">
      <c r="A11" t="s">
        <v>10</v>
      </c>
      <c r="B11">
        <v>1127</v>
      </c>
      <c r="C11">
        <v>2333</v>
      </c>
      <c r="D11">
        <f t="shared" si="1"/>
        <v>3460</v>
      </c>
    </row>
    <row r="12" spans="1:4" x14ac:dyDescent="0.25">
      <c r="A12" t="s">
        <v>11</v>
      </c>
      <c r="B12">
        <v>945</v>
      </c>
      <c r="C12">
        <v>2824</v>
      </c>
      <c r="D12">
        <f t="shared" si="1"/>
        <v>3769</v>
      </c>
    </row>
    <row r="13" spans="1:4" x14ac:dyDescent="0.25">
      <c r="A13" t="s">
        <v>12</v>
      </c>
      <c r="B13">
        <v>1516</v>
      </c>
      <c r="C13">
        <v>4207</v>
      </c>
      <c r="D13">
        <f t="shared" si="1"/>
        <v>5723</v>
      </c>
    </row>
    <row r="14" spans="1:4" x14ac:dyDescent="0.25">
      <c r="A14" t="s">
        <v>15</v>
      </c>
      <c r="D14">
        <f>SUM(D2,D3,D4,D5,D6,D7,D8,D9,D10,D11,D12,D13)</f>
        <v>44085</v>
      </c>
    </row>
  </sheetData>
  <phoneticPr fontId="1" type="noConversion"/>
  <conditionalFormatting sqref="B2:C14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{0ECCB4D8-8E7B-415D-A9B2-6773CCAEF2EC}</x14:id>
        </ext>
      </extLst>
    </cfRule>
  </conditionalFormatting>
  <conditionalFormatting sqref="B2:D1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{61B2CA83-16AA-471D-A128-487209CCEEAD}</x14:id>
        </ext>
      </extLst>
    </cfRule>
  </conditionalFormatting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ECCB4D8-8E7B-415D-A9B2-6773CCAEF2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B2:C14</xm:sqref>
        </x14:conditionalFormatting>
        <x14:conditionalFormatting xmlns:xm="http://schemas.microsoft.com/office/excel/2006/main">
          <x14:cfRule type="dataBar" id="{61B2CA83-16AA-471D-A128-487209CCEE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B2:D14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CC554-E484-4B48-A451-482FA9952B0C}">
  <dimension ref="A1:D14"/>
  <sheetViews>
    <sheetView tabSelected="1" workbookViewId="0">
      <selection activeCell="D6" sqref="D6"/>
    </sheetView>
  </sheetViews>
  <sheetFormatPr defaultRowHeight="15" x14ac:dyDescent="0.25"/>
  <cols>
    <col min="1" max="1" width="12.42578125" customWidth="1"/>
    <col min="2" max="2" width="19.5703125" customWidth="1"/>
    <col min="3" max="3" width="16.140625" customWidth="1"/>
    <col min="4" max="4" width="21.42578125" customWidth="1"/>
  </cols>
  <sheetData>
    <row r="1" spans="1:4" x14ac:dyDescent="0.25">
      <c r="A1" s="2" t="s">
        <v>0</v>
      </c>
      <c r="B1" s="1" t="s">
        <v>13</v>
      </c>
      <c r="C1" s="1" t="s">
        <v>14</v>
      </c>
      <c r="D1" s="3" t="s">
        <v>16</v>
      </c>
    </row>
    <row r="2" spans="1:4" x14ac:dyDescent="0.25">
      <c r="A2" t="s">
        <v>1</v>
      </c>
      <c r="B2">
        <v>2132</v>
      </c>
      <c r="C2">
        <v>4759</v>
      </c>
      <c r="D2">
        <f>SUM(Tabela24[[#This Row],[Coleta AM]:[Coleta PM]])</f>
        <v>6891</v>
      </c>
    </row>
    <row r="3" spans="1:4" x14ac:dyDescent="0.25">
      <c r="A3" t="s">
        <v>2</v>
      </c>
      <c r="B3">
        <v>2724</v>
      </c>
      <c r="C3">
        <v>6850</v>
      </c>
      <c r="D3">
        <f>SUM(Tabela24[[#This Row],[Coleta AM]:[Coleta PM]])</f>
        <v>9574</v>
      </c>
    </row>
    <row r="4" spans="1:4" x14ac:dyDescent="0.25">
      <c r="A4" t="s">
        <v>3</v>
      </c>
      <c r="B4">
        <v>2214</v>
      </c>
      <c r="C4">
        <v>4726</v>
      </c>
      <c r="D4">
        <f>SUM(Tabela24[[#This Row],[Coleta AM]:[Coleta PM]])</f>
        <v>6940</v>
      </c>
    </row>
    <row r="5" spans="1:4" x14ac:dyDescent="0.25">
      <c r="A5" t="s">
        <v>4</v>
      </c>
      <c r="B5">
        <v>2140</v>
      </c>
      <c r="C5">
        <v>4780</v>
      </c>
      <c r="D5">
        <f>SUM(Tabela24[[#This Row],[Coleta AM]:[Coleta PM]])</f>
        <v>6920</v>
      </c>
    </row>
    <row r="6" spans="1:4" x14ac:dyDescent="0.25">
      <c r="A6" t="s">
        <v>5</v>
      </c>
      <c r="D6">
        <f>SUM(Tabela24[[#This Row],[Coleta AM]:[Coleta PM]])</f>
        <v>0</v>
      </c>
    </row>
    <row r="7" spans="1:4" x14ac:dyDescent="0.25">
      <c r="A7" t="s">
        <v>6</v>
      </c>
      <c r="D7">
        <f>SUM(Tabela24[[#This Row],[Coleta AM]:[Coleta PM]])</f>
        <v>0</v>
      </c>
    </row>
    <row r="8" spans="1:4" x14ac:dyDescent="0.25">
      <c r="A8" t="s">
        <v>7</v>
      </c>
      <c r="D8">
        <f>SUM(Tabela24[[#This Row],[Coleta AM]:[Coleta PM]])</f>
        <v>0</v>
      </c>
    </row>
    <row r="9" spans="1:4" x14ac:dyDescent="0.25">
      <c r="A9" t="s">
        <v>8</v>
      </c>
      <c r="D9">
        <f>SUM(Tabela24[[#This Row],[Coleta AM]:[Coleta PM]])</f>
        <v>0</v>
      </c>
    </row>
    <row r="10" spans="1:4" x14ac:dyDescent="0.25">
      <c r="A10" t="s">
        <v>9</v>
      </c>
      <c r="D10">
        <f>SUM(Tabela24[[#This Row],[Coleta AM]:[Coleta PM]])</f>
        <v>0</v>
      </c>
    </row>
    <row r="11" spans="1:4" x14ac:dyDescent="0.25">
      <c r="A11" t="s">
        <v>10</v>
      </c>
      <c r="D11">
        <f>SUM(Tabela24[[#This Row],[Coleta AM]:[Coleta PM]])</f>
        <v>0</v>
      </c>
    </row>
    <row r="12" spans="1:4" x14ac:dyDescent="0.25">
      <c r="A12" t="s">
        <v>11</v>
      </c>
      <c r="D12">
        <f>SUM(Tabela24[[#This Row],[Coleta AM]:[Coleta PM]])</f>
        <v>0</v>
      </c>
    </row>
    <row r="13" spans="1:4" x14ac:dyDescent="0.25">
      <c r="A13" t="s">
        <v>12</v>
      </c>
      <c r="D13">
        <f>SUM(Tabela24[[#This Row],[Coleta AM]:[Coleta PM]])</f>
        <v>0</v>
      </c>
    </row>
    <row r="14" spans="1:4" x14ac:dyDescent="0.25">
      <c r="A14" t="s">
        <v>15</v>
      </c>
      <c r="D14">
        <f>SUM(Tabela24[[#This Row],[Coleta AM]:[Coleta PM]])</f>
        <v>0</v>
      </c>
    </row>
  </sheetData>
  <phoneticPr fontId="1" type="noConversion"/>
  <conditionalFormatting sqref="B2:C14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{530E63A0-4295-452A-BF1A-875681829386}</x14:id>
        </ext>
      </extLst>
    </cfRule>
  </conditionalFormatting>
  <conditionalFormatting sqref="B2:D1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{E5990B61-A9C6-49ED-BDFF-759B7F0A4CD8}</x14:id>
        </ext>
      </extLst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30E63A0-4295-452A-BF1A-8756818293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B2:C14</xm:sqref>
        </x14:conditionalFormatting>
        <x14:conditionalFormatting xmlns:xm="http://schemas.microsoft.com/office/excel/2006/main">
          <x14:cfRule type="dataBar" id="{E5990B61-A9C6-49ED-BDFF-759B7F0A4C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B2:D14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2025</vt:lpstr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S.</dc:creator>
  <cp:lastModifiedBy>Rodrigo S.</cp:lastModifiedBy>
  <dcterms:created xsi:type="dcterms:W3CDTF">2025-06-02T17:58:39Z</dcterms:created>
  <dcterms:modified xsi:type="dcterms:W3CDTF">2026-05-15T15:32:29Z</dcterms:modified>
</cp:coreProperties>
</file>